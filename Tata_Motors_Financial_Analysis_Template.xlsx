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udra\OneDrive\Desktop\"/>
    </mc:Choice>
  </mc:AlternateContent>
  <bookViews>
    <workbookView xWindow="0" yWindow="0" windowWidth="20400" windowHeight="7500"/>
  </bookViews>
  <sheets>
    <sheet name="Financial Data" sheetId="1" r:id="rId1"/>
    <sheet name="Ratios" sheetId="2" r:id="rId2"/>
    <sheet name="DCF Model" sheetId="3" r:id="rId3"/>
  </sheets>
  <calcPr calcId="162913"/>
</workbook>
</file>

<file path=xl/calcChain.xml><?xml version="1.0" encoding="utf-8"?>
<calcChain xmlns="http://schemas.openxmlformats.org/spreadsheetml/2006/main">
  <c r="Q9" i="1" l="1"/>
  <c r="Q10" i="1"/>
  <c r="P9" i="1"/>
  <c r="P10" i="1"/>
  <c r="E10" i="1"/>
  <c r="N10" i="1" s="1"/>
  <c r="E11" i="1"/>
  <c r="N11" i="1" s="1"/>
  <c r="E9" i="1"/>
  <c r="N9" i="1" s="1"/>
  <c r="N8" i="1"/>
  <c r="Q7" i="1"/>
  <c r="Q8" i="1"/>
  <c r="P7" i="1"/>
  <c r="P8" i="1"/>
  <c r="O8" i="1"/>
  <c r="O9" i="1"/>
  <c r="O10" i="1"/>
  <c r="O11" i="1"/>
  <c r="I9" i="1"/>
  <c r="I10" i="1"/>
  <c r="I11" i="1"/>
  <c r="M8" i="1"/>
  <c r="M9" i="1"/>
  <c r="M10" i="1"/>
  <c r="M11" i="1"/>
  <c r="L8" i="1"/>
  <c r="L9" i="1"/>
  <c r="L10" i="1"/>
  <c r="L11" i="1"/>
  <c r="K8" i="1"/>
  <c r="K9" i="1"/>
  <c r="K10" i="1"/>
  <c r="K11" i="1"/>
  <c r="J8" i="1"/>
  <c r="J9" i="1"/>
  <c r="J10" i="1"/>
  <c r="J11" i="1"/>
  <c r="I8" i="1"/>
  <c r="E2" i="1"/>
  <c r="E3" i="1"/>
  <c r="E4" i="1"/>
  <c r="E5" i="1"/>
  <c r="E6" i="1"/>
  <c r="E7" i="1"/>
  <c r="E8" i="1"/>
  <c r="Q3" i="1" l="1"/>
  <c r="Q4" i="1"/>
  <c r="Q5" i="1"/>
  <c r="Q6" i="1"/>
  <c r="Q2" i="1"/>
  <c r="P3" i="1"/>
  <c r="P4" i="1"/>
  <c r="P5" i="1"/>
  <c r="P6" i="1"/>
  <c r="P2" i="1"/>
  <c r="N3" i="1" l="1"/>
  <c r="N4" i="1"/>
  <c r="N5" i="1"/>
  <c r="N6" i="1"/>
  <c r="N7" i="1"/>
  <c r="N2" i="1"/>
  <c r="O3" i="1"/>
  <c r="O4" i="1"/>
  <c r="O5" i="1"/>
  <c r="O6" i="1"/>
  <c r="O7" i="1"/>
  <c r="O2" i="1"/>
  <c r="M3" i="1" l="1"/>
  <c r="M4" i="1"/>
  <c r="M5" i="1"/>
  <c r="M6" i="1"/>
  <c r="M7" i="1"/>
  <c r="M2" i="1"/>
  <c r="L3" i="1"/>
  <c r="L4" i="1"/>
  <c r="L5" i="1"/>
  <c r="L6" i="1"/>
  <c r="L7" i="1"/>
  <c r="L2" i="1"/>
  <c r="I6" i="1"/>
  <c r="K3" i="1"/>
  <c r="K4" i="1"/>
  <c r="K5" i="1"/>
  <c r="K6" i="1"/>
  <c r="K7" i="1"/>
  <c r="K2" i="1"/>
  <c r="J3" i="1"/>
  <c r="J4" i="1"/>
  <c r="J5" i="1"/>
  <c r="J6" i="1"/>
  <c r="J7" i="1"/>
  <c r="J2" i="1"/>
  <c r="I2" i="1"/>
  <c r="I3" i="1"/>
  <c r="I4" i="1"/>
  <c r="I5" i="1"/>
  <c r="I7" i="1"/>
</calcChain>
</file>

<file path=xl/sharedStrings.xml><?xml version="1.0" encoding="utf-8"?>
<sst xmlns="http://schemas.openxmlformats.org/spreadsheetml/2006/main" count="19" uniqueCount="18">
  <si>
    <t>Year</t>
  </si>
  <si>
    <t>ROE</t>
  </si>
  <si>
    <t>ROA</t>
  </si>
  <si>
    <t>Revenue (Cr.)</t>
  </si>
  <si>
    <t>Net Profit (Cr.)</t>
  </si>
  <si>
    <t>Finance Cost (Cr.)</t>
  </si>
  <si>
    <t>Operating Profit (Cr.)</t>
  </si>
  <si>
    <t>Total Assets (Cr.)</t>
  </si>
  <si>
    <t>Total Liabilities (Cr.)</t>
  </si>
  <si>
    <t>Equity (Cr.)</t>
  </si>
  <si>
    <t>Operating Margin</t>
  </si>
  <si>
    <t xml:space="preserve">Profit Margin </t>
  </si>
  <si>
    <t>Interest Coverage Ratio</t>
  </si>
  <si>
    <t>Asset Turnover Ratio</t>
  </si>
  <si>
    <t>Debt to Equity Ratio</t>
  </si>
  <si>
    <t>Revenue Growth %</t>
  </si>
  <si>
    <t>Net Profit Growth %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</si>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</sst>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₹&quot;\ #,##0.00"/>
    <numFmt numFmtId="165" formatCode="0.0%"/>
    <numFmt numFmtId="166" formatCode="0.0"/>
    <numFmt numFmtId="167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shrinkToFit="1"/>
    </xf>
    <xf numFmtId="164" fontId="0" fillId="0" borderId="0" xfId="0" applyNumberFormat="1" applyAlignment="1">
      <alignment shrinkToFit="1"/>
    </xf>
    <xf numFmtId="164" fontId="0" fillId="0" borderId="0" xfId="0" applyNumberFormat="1" applyAlignment="1">
      <alignment horizontal="right"/>
    </xf>
    <xf numFmtId="164" fontId="0" fillId="0" borderId="0" xfId="0" applyNumberFormat="1" applyFont="1"/>
    <xf numFmtId="164" fontId="0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4" fontId="0" fillId="0" borderId="0" xfId="0" applyNumberFormat="1" applyFont="1" applyAlignment="1">
      <alignment shrinkToFi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shrinkToFi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/>
    </xf>
    <xf numFmtId="0" fontId="3" fillId="0" borderId="0" xfId="0" applyFont="1" applyAlignment="1">
      <alignment horizontal="center" wrapText="1"/>
    </xf>
    <xf numFmtId="0" fontId="4" fillId="0" borderId="0" xfId="0" applyFont="1"/>
    <xf numFmtId="164" fontId="4" fillId="0" borderId="0" xfId="0" applyNumberFormat="1" applyFont="1"/>
    <xf numFmtId="164" fontId="4" fillId="0" borderId="0" xfId="0" applyNumberFormat="1" applyFont="1" applyAlignment="1">
      <alignment shrinkToFit="1"/>
    </xf>
    <xf numFmtId="10" fontId="4" fillId="0" borderId="0" xfId="1" applyNumberFormat="1" applyFont="1"/>
    <xf numFmtId="165" fontId="4" fillId="0" borderId="0" xfId="1" applyNumberFormat="1" applyFont="1"/>
    <xf numFmtId="166" fontId="4" fillId="0" borderId="0" xfId="0" applyNumberFormat="1" applyFont="1"/>
    <xf numFmtId="167" fontId="4" fillId="0" borderId="0" xfId="1" applyNumberFormat="1" applyFont="1"/>
    <xf numFmtId="167" fontId="4" fillId="0" borderId="0" xfId="0" applyNumberFormat="1" applyFont="1"/>
    <xf numFmtId="164" fontId="4" fillId="0" borderId="0" xfId="0" applyNumberFormat="1" applyFont="1" applyAlignment="1"/>
    <xf numFmtId="164" fontId="4" fillId="0" borderId="0" xfId="0" applyNumberFormat="1" applyFont="1" applyAlignment="1">
      <alignment wrapText="1"/>
    </xf>
    <xf numFmtId="164" fontId="4" fillId="0" borderId="0" xfId="0" applyNumberFormat="1" applyFont="1" applyAlignment="1">
      <alignment horizontal="right"/>
    </xf>
    <xf numFmtId="10" fontId="4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Revenue Trend Chart</a:t>
            </a:r>
            <a:endParaRPr lang="en-IN" sz="18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Revenue</c:v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0"/>
              <c:pt idx="0">
                <c:v>2025</c:v>
              </c:pt>
              <c:pt idx="1">
                <c:v>2024</c:v>
              </c:pt>
              <c:pt idx="2">
                <c:v>2023</c:v>
              </c:pt>
              <c:pt idx="3">
                <c:v>2022</c:v>
              </c:pt>
              <c:pt idx="4">
                <c:v>2021</c:v>
              </c:pt>
              <c:pt idx="5">
                <c:v>2020</c:v>
              </c:pt>
              <c:pt idx="6">
                <c:v>2019</c:v>
              </c:pt>
              <c:pt idx="7">
                <c:v>2018</c:v>
              </c:pt>
              <c:pt idx="8">
                <c:v>2017</c:v>
              </c:pt>
              <c:pt idx="9">
                <c:v>2016</c:v>
              </c:pt>
            </c:numLit>
          </c:cat>
          <c:val>
            <c:numRef>
              <c:f>'Financial Data'!$B$2:$B$11</c:f>
              <c:numCache>
                <c:formatCode>"₹"\ #,##0.00</c:formatCode>
                <c:ptCount val="10"/>
                <c:pt idx="0">
                  <c:v>439695</c:v>
                </c:pt>
                <c:pt idx="1">
                  <c:v>437927.77</c:v>
                </c:pt>
                <c:pt idx="2">
                  <c:v>345966.97</c:v>
                </c:pt>
                <c:pt idx="3">
                  <c:v>278453.62</c:v>
                </c:pt>
                <c:pt idx="4">
                  <c:v>249794.75</c:v>
                </c:pt>
                <c:pt idx="5">
                  <c:v>261067.97</c:v>
                </c:pt>
                <c:pt idx="6">
                  <c:v>304903.71000000002</c:v>
                </c:pt>
                <c:pt idx="7">
                  <c:v>296298.23</c:v>
                </c:pt>
                <c:pt idx="8">
                  <c:v>275246.65999999997</c:v>
                </c:pt>
                <c:pt idx="9">
                  <c:v>278545.94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57-4EC4-A26A-FE4D9F3E9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0753072"/>
        <c:axId val="13326718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>
                        <a:tint val="77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Lit>
                    <c:formatCode>General</c:formatCode>
                    <c:ptCount val="10"/>
                    <c:pt idx="0">
                      <c:v>2025</c:v>
                    </c:pt>
                    <c:pt idx="1">
                      <c:v>2024</c:v>
                    </c:pt>
                    <c:pt idx="2">
                      <c:v>2023</c:v>
                    </c:pt>
                    <c:pt idx="3">
                      <c:v>2022</c:v>
                    </c:pt>
                    <c:pt idx="4">
                      <c:v>2021</c:v>
                    </c:pt>
                    <c:pt idx="5">
                      <c:v>2020</c:v>
                    </c:pt>
                    <c:pt idx="6">
                      <c:v>2019</c:v>
                    </c:pt>
                    <c:pt idx="7">
                      <c:v>2018</c:v>
                    </c:pt>
                    <c:pt idx="8">
                      <c:v>2017</c:v>
                    </c:pt>
                    <c:pt idx="9">
                      <c:v>2016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'Financial Data'!$A$2:$A$11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2025</c:v>
                      </c:pt>
                      <c:pt idx="1">
                        <c:v>2024</c:v>
                      </c:pt>
                      <c:pt idx="2">
                        <c:v>2023</c:v>
                      </c:pt>
                      <c:pt idx="3">
                        <c:v>2022</c:v>
                      </c:pt>
                      <c:pt idx="4">
                        <c:v>2021</c:v>
                      </c:pt>
                      <c:pt idx="5">
                        <c:v>2020</c:v>
                      </c:pt>
                      <c:pt idx="6">
                        <c:v>2019</c:v>
                      </c:pt>
                      <c:pt idx="7">
                        <c:v>2018</c:v>
                      </c:pt>
                      <c:pt idx="8">
                        <c:v>2017</c:v>
                      </c:pt>
                      <c:pt idx="9">
                        <c:v>2016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F57-4EC4-A26A-FE4D9F3E904F}"/>
                  </c:ext>
                </c:extLst>
              </c15:ser>
            </c15:filteredLineSeries>
          </c:ext>
        </c:extLst>
      </c:lineChart>
      <c:catAx>
        <c:axId val="123075307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671824"/>
        <c:crosses val="autoZero"/>
        <c:auto val="1"/>
        <c:lblAlgn val="ctr"/>
        <c:lblOffset val="100"/>
        <c:noMultiLvlLbl val="0"/>
      </c:catAx>
      <c:valAx>
        <c:axId val="1332671824"/>
        <c:scaling>
          <c:orientation val="minMax"/>
        </c:scaling>
        <c:delete val="0"/>
        <c:axPos val="r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75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Net Profit Trend</a:t>
            </a:r>
            <a:endParaRPr lang="en-IN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093362509117436E-2"/>
          <c:y val="0.21281045751633987"/>
          <c:w val="0.79100168277652383"/>
          <c:h val="0.61006474190726157"/>
        </c:manualLayout>
      </c:layout>
      <c:lineChart>
        <c:grouping val="standard"/>
        <c:varyColors val="0"/>
        <c:ser>
          <c:idx val="1"/>
          <c:order val="1"/>
          <c:tx>
            <c:v>Net Profit</c:v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0"/>
              <c:pt idx="0">
                <c:v>2025</c:v>
              </c:pt>
              <c:pt idx="1">
                <c:v>2024</c:v>
              </c:pt>
              <c:pt idx="2">
                <c:v>2023</c:v>
              </c:pt>
              <c:pt idx="3">
                <c:v>2022</c:v>
              </c:pt>
              <c:pt idx="4">
                <c:v>2021</c:v>
              </c:pt>
              <c:pt idx="5">
                <c:v>2020</c:v>
              </c:pt>
              <c:pt idx="6">
                <c:v>2019</c:v>
              </c:pt>
              <c:pt idx="7">
                <c:v>2018</c:v>
              </c:pt>
              <c:pt idx="8">
                <c:v>2017</c:v>
              </c:pt>
              <c:pt idx="9">
                <c:v>2016</c:v>
              </c:pt>
            </c:numLit>
          </c:cat>
          <c:val>
            <c:numRef>
              <c:f>'Financial Data'!$C$2:$C$11</c:f>
              <c:numCache>
                <c:formatCode>"₹"\ #,##0.00</c:formatCode>
                <c:ptCount val="10"/>
                <c:pt idx="0">
                  <c:v>28149</c:v>
                </c:pt>
                <c:pt idx="1">
                  <c:v>31806.75</c:v>
                </c:pt>
                <c:pt idx="2">
                  <c:v>2689.87</c:v>
                </c:pt>
                <c:pt idx="3">
                  <c:v>2414</c:v>
                </c:pt>
                <c:pt idx="4">
                  <c:v>-13395.1</c:v>
                </c:pt>
                <c:pt idx="5">
                  <c:v>-11975.23</c:v>
                </c:pt>
                <c:pt idx="6">
                  <c:v>-28724.2</c:v>
                </c:pt>
                <c:pt idx="7">
                  <c:v>9091.36</c:v>
                </c:pt>
                <c:pt idx="8">
                  <c:v>7556.56</c:v>
                </c:pt>
                <c:pt idx="9">
                  <c:v>11678.19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8-42C1-B2B2-557BAED4D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997808"/>
        <c:axId val="14469998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>
                        <a:tint val="77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Lit>
                    <c:formatCode>General</c:formatCode>
                    <c:ptCount val="10"/>
                    <c:pt idx="0">
                      <c:v>2025</c:v>
                    </c:pt>
                    <c:pt idx="1">
                      <c:v>2024</c:v>
                    </c:pt>
                    <c:pt idx="2">
                      <c:v>2023</c:v>
                    </c:pt>
                    <c:pt idx="3">
                      <c:v>2022</c:v>
                    </c:pt>
                    <c:pt idx="4">
                      <c:v>2021</c:v>
                    </c:pt>
                    <c:pt idx="5">
                      <c:v>2020</c:v>
                    </c:pt>
                    <c:pt idx="6">
                      <c:v>2019</c:v>
                    </c:pt>
                    <c:pt idx="7">
                      <c:v>2018</c:v>
                    </c:pt>
                    <c:pt idx="8">
                      <c:v>2017</c:v>
                    </c:pt>
                    <c:pt idx="9">
                      <c:v>2016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'Financial Data'!$A$2:$A$11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2025</c:v>
                      </c:pt>
                      <c:pt idx="1">
                        <c:v>2024</c:v>
                      </c:pt>
                      <c:pt idx="2">
                        <c:v>2023</c:v>
                      </c:pt>
                      <c:pt idx="3">
                        <c:v>2022</c:v>
                      </c:pt>
                      <c:pt idx="4">
                        <c:v>2021</c:v>
                      </c:pt>
                      <c:pt idx="5">
                        <c:v>2020</c:v>
                      </c:pt>
                      <c:pt idx="6">
                        <c:v>2019</c:v>
                      </c:pt>
                      <c:pt idx="7">
                        <c:v>2018</c:v>
                      </c:pt>
                      <c:pt idx="8">
                        <c:v>2017</c:v>
                      </c:pt>
                      <c:pt idx="9">
                        <c:v>2016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F08-42C1-B2B2-557BAED4D472}"/>
                  </c:ext>
                </c:extLst>
              </c15:ser>
            </c15:filteredLineSeries>
          </c:ext>
        </c:extLst>
      </c:lineChart>
      <c:catAx>
        <c:axId val="14469978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99888"/>
        <c:crosses val="autoZero"/>
        <c:auto val="1"/>
        <c:lblAlgn val="ctr"/>
        <c:lblOffset val="100"/>
        <c:noMultiLvlLbl val="0"/>
      </c:catAx>
      <c:valAx>
        <c:axId val="1446999888"/>
        <c:scaling>
          <c:orientation val="minMax"/>
        </c:scaling>
        <c:delete val="0"/>
        <c:axPos val="r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9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Profit Margin Trend</a:t>
            </a:r>
            <a:endParaRPr lang="en-IN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Profit Margin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'Financial Data'!$A$2:$A$11</c:f>
              <c:numCache>
                <c:formatCode>General</c:formatCode>
                <c:ptCount val="10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</c:numCache>
            </c:numRef>
          </c:cat>
          <c:val>
            <c:numRef>
              <c:f>'Financial Data'!$I$2:$I$11</c:f>
              <c:numCache>
                <c:formatCode>0.00%</c:formatCode>
                <c:ptCount val="10"/>
                <c:pt idx="0">
                  <c:v>6.4019377068194994E-2</c:v>
                </c:pt>
                <c:pt idx="1">
                  <c:v>7.2630128023166929E-2</c:v>
                </c:pt>
                <c:pt idx="2">
                  <c:v>7.7749329654215257E-3</c:v>
                </c:pt>
                <c:pt idx="3">
                  <c:v>8.6693072979263115E-3</c:v>
                </c:pt>
                <c:pt idx="4">
                  <c:v>-5.3624425653461497E-2</c:v>
                </c:pt>
                <c:pt idx="5">
                  <c:v>-4.5870161705398024E-2</c:v>
                </c:pt>
                <c:pt idx="6">
                  <c:v>-9.4207446672262524E-2</c:v>
                </c:pt>
                <c:pt idx="7">
                  <c:v>3.0683139754159185E-2</c:v>
                </c:pt>
                <c:pt idx="8">
                  <c:v>2.7453775460890246E-2</c:v>
                </c:pt>
                <c:pt idx="9">
                  <c:v>4.1925543772061445E-2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82-4787-9631-D889ABEDF8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47006960"/>
        <c:axId val="1447005296"/>
      </c:lineChart>
      <c:catAx>
        <c:axId val="14470069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05296"/>
        <c:crosses val="autoZero"/>
        <c:auto val="1"/>
        <c:lblAlgn val="ctr"/>
        <c:lblOffset val="100"/>
        <c:noMultiLvlLbl val="0"/>
      </c:catAx>
      <c:valAx>
        <c:axId val="144700529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0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18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Revenue Growth % Chart</a:t>
            </a:r>
            <a:endPara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 Growth %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'Financial Data'!$A$2:$A$11</c:f>
              <c:numCache>
                <c:formatCode>General</c:formatCode>
                <c:ptCount val="10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</c:numCache>
            </c:numRef>
          </c:cat>
          <c:val>
            <c:numRef>
              <c:f>'Financial Data'!$P$2:$P$11</c:f>
              <c:numCache>
                <c:formatCode>0.00%</c:formatCode>
                <c:ptCount val="10"/>
                <c:pt idx="0">
                  <c:v>4.0354371680973358E-3</c:v>
                </c:pt>
                <c:pt idx="1">
                  <c:v>0.26580803363974326</c:v>
                </c:pt>
                <c:pt idx="2">
                  <c:v>0.24245815155859701</c:v>
                </c:pt>
                <c:pt idx="3">
                  <c:v>0.11472967306158355</c:v>
                </c:pt>
                <c:pt idx="4">
                  <c:v>-4.3181168490336062E-2</c:v>
                </c:pt>
                <c:pt idx="5">
                  <c:v>-0.14376912632516023</c:v>
                </c:pt>
                <c:pt idx="6">
                  <c:v>2.9043305456127901E-2</c:v>
                </c:pt>
                <c:pt idx="7">
                  <c:v>7.6482562949174424E-2</c:v>
                </c:pt>
                <c:pt idx="8">
                  <c:v>-1.1844652986146658E-2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60-4D86-BF9D-EF12949C0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009040"/>
        <c:axId val="1447004464"/>
      </c:lineChart>
      <c:catAx>
        <c:axId val="14470090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04464"/>
        <c:crosses val="autoZero"/>
        <c:auto val="1"/>
        <c:lblAlgn val="ctr"/>
        <c:lblOffset val="100"/>
        <c:noMultiLvlLbl val="0"/>
      </c:catAx>
      <c:valAx>
        <c:axId val="144700446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0904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13</xdr:row>
      <xdr:rowOff>19051</xdr:rowOff>
    </xdr:from>
    <xdr:to>
      <xdr:col>4</xdr:col>
      <xdr:colOff>476251</xdr:colOff>
      <xdr:row>25</xdr:row>
      <xdr:rowOff>19051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695325</xdr:colOff>
      <xdr:row>13</xdr:row>
      <xdr:rowOff>19051</xdr:rowOff>
    </xdr:from>
    <xdr:to>
      <xdr:col>9</xdr:col>
      <xdr:colOff>28575</xdr:colOff>
      <xdr:row>25</xdr:row>
      <xdr:rowOff>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285751</xdr:colOff>
      <xdr:row>13</xdr:row>
      <xdr:rowOff>19050</xdr:rowOff>
    </xdr:from>
    <xdr:to>
      <xdr:col>14</xdr:col>
      <xdr:colOff>438150</xdr:colOff>
      <xdr:row>24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723900</xdr:colOff>
      <xdr:row>25</xdr:row>
      <xdr:rowOff>57150</xdr:rowOff>
    </xdr:from>
    <xdr:to>
      <xdr:col>8</xdr:col>
      <xdr:colOff>714376</xdr:colOff>
      <xdr:row>37</xdr:row>
      <xdr:rowOff>85726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topLeftCell="A19" workbookViewId="0">
      <selection activeCell="D31" sqref="D31"/>
    </sheetView>
  </sheetViews>
  <sheetFormatPr defaultRowHeight="15" x14ac:dyDescent="0.25"/>
  <cols>
    <col min="2" max="2" width="12.7109375" style="1" customWidth="1"/>
    <col min="3" max="3" width="15.28515625" style="1" customWidth="1"/>
    <col min="4" max="4" width="14.140625" style="1" customWidth="1"/>
    <col min="5" max="5" width="17" style="1" customWidth="1"/>
    <col min="6" max="6" width="12.7109375" style="1" customWidth="1"/>
    <col min="7" max="7" width="15.140625" style="6" customWidth="1"/>
    <col min="8" max="8" width="13.42578125" customWidth="1"/>
    <col min="9" max="9" width="14.42578125" customWidth="1"/>
    <col min="12" max="12" width="14" customWidth="1"/>
    <col min="13" max="13" width="15.42578125" customWidth="1"/>
    <col min="14" max="14" width="10.85546875" customWidth="1"/>
    <col min="15" max="15" width="9.85546875" customWidth="1"/>
    <col min="16" max="16" width="14.7109375" customWidth="1"/>
    <col min="17" max="17" width="10.7109375" customWidth="1"/>
  </cols>
  <sheetData>
    <row r="1" spans="1:17" ht="47.25" x14ac:dyDescent="0.25">
      <c r="A1" s="11" t="s">
        <v>0</v>
      </c>
      <c r="B1" s="12" t="s">
        <v>3</v>
      </c>
      <c r="C1" s="12" t="s">
        <v>4</v>
      </c>
      <c r="D1" s="12" t="s">
        <v>7</v>
      </c>
      <c r="E1" s="12" t="s">
        <v>8</v>
      </c>
      <c r="F1" s="12" t="s">
        <v>9</v>
      </c>
      <c r="G1" s="12" t="s">
        <v>6</v>
      </c>
      <c r="H1" s="12" t="s">
        <v>5</v>
      </c>
      <c r="I1" s="12" t="s">
        <v>11</v>
      </c>
      <c r="J1" s="12" t="s">
        <v>1</v>
      </c>
      <c r="K1" s="12" t="s">
        <v>2</v>
      </c>
      <c r="L1" s="12" t="s">
        <v>10</v>
      </c>
      <c r="M1" s="12" t="s">
        <v>12</v>
      </c>
      <c r="N1" s="12" t="s">
        <v>14</v>
      </c>
      <c r="O1" s="12" t="s">
        <v>13</v>
      </c>
      <c r="P1" s="12" t="s">
        <v>15</v>
      </c>
      <c r="Q1" s="13" t="s">
        <v>16</v>
      </c>
    </row>
    <row r="2" spans="1:17" x14ac:dyDescent="0.25">
      <c r="A2" s="14">
        <v>2025</v>
      </c>
      <c r="B2" s="15">
        <v>439695</v>
      </c>
      <c r="C2" s="15">
        <v>28149</v>
      </c>
      <c r="D2" s="15">
        <v>378642</v>
      </c>
      <c r="E2" s="16">
        <f t="shared" ref="E2:E7" si="0">D2-F2</f>
        <v>255888</v>
      </c>
      <c r="F2" s="15">
        <v>122754</v>
      </c>
      <c r="G2" s="15">
        <v>65848</v>
      </c>
      <c r="H2" s="15">
        <v>4999</v>
      </c>
      <c r="I2" s="17">
        <f>C2/B2</f>
        <v>6.4019377068194994E-2</v>
      </c>
      <c r="J2" s="17">
        <f>C2/F2</f>
        <v>0.22931228310279095</v>
      </c>
      <c r="K2" s="17">
        <f>C2/D2</f>
        <v>7.434199058741503E-2</v>
      </c>
      <c r="L2" s="18">
        <f>G2/B2</f>
        <v>0.14975835522350719</v>
      </c>
      <c r="M2" s="19">
        <f>G2/H2</f>
        <v>13.172234446889378</v>
      </c>
      <c r="N2" s="20">
        <f>E2/F2</f>
        <v>2.0845593626276946</v>
      </c>
      <c r="O2" s="21">
        <f>B2/D2</f>
        <v>1.1612420175257896</v>
      </c>
      <c r="P2" s="17">
        <f>(B2-B3)/B3</f>
        <v>4.0354371680973358E-3</v>
      </c>
      <c r="Q2" s="17">
        <f>(C2-C3)/C3</f>
        <v>-0.11499917470348275</v>
      </c>
    </row>
    <row r="3" spans="1:17" x14ac:dyDescent="0.25">
      <c r="A3" s="14">
        <v>2024</v>
      </c>
      <c r="B3" s="15">
        <v>437927.77</v>
      </c>
      <c r="C3" s="15">
        <v>31806.75</v>
      </c>
      <c r="D3" s="16">
        <v>370664</v>
      </c>
      <c r="E3" s="16">
        <f t="shared" si="0"/>
        <v>277570</v>
      </c>
      <c r="F3" s="15">
        <v>93094</v>
      </c>
      <c r="G3" s="15">
        <v>70568.800000000003</v>
      </c>
      <c r="H3" s="15">
        <v>9985.76</v>
      </c>
      <c r="I3" s="17">
        <f t="shared" ref="I3:I7" si="1">C3/B3</f>
        <v>7.2630128023166929E-2</v>
      </c>
      <c r="J3" s="17">
        <f t="shared" ref="J3:J11" si="2">C3/F3</f>
        <v>0.34166272799535952</v>
      </c>
      <c r="K3" s="17">
        <f t="shared" ref="K3:K11" si="3">C3/D3</f>
        <v>8.5810194677659546E-2</v>
      </c>
      <c r="L3" s="18">
        <f t="shared" ref="L3:L11" si="4">G3/B3</f>
        <v>0.16114255554060891</v>
      </c>
      <c r="M3" s="19">
        <f t="shared" ref="M3:M11" si="5">G3/H3</f>
        <v>7.0669433272980724</v>
      </c>
      <c r="N3" s="20">
        <f t="shared" ref="N3:N7" si="6">E3/F3</f>
        <v>2.9816099856059468</v>
      </c>
      <c r="O3" s="21">
        <f t="shared" ref="O3:O11" si="7">B3/D3</f>
        <v>1.1814683109231001</v>
      </c>
      <c r="P3" s="17">
        <f t="shared" ref="P3:P10" si="8">(B3-B4)/B4</f>
        <v>0.26580803363974326</v>
      </c>
      <c r="Q3" s="17">
        <f t="shared" ref="Q3:Q10" si="9">(C3-C4)/C4</f>
        <v>10.824642083074648</v>
      </c>
    </row>
    <row r="4" spans="1:17" x14ac:dyDescent="0.25">
      <c r="A4" s="14">
        <v>2023</v>
      </c>
      <c r="B4" s="22">
        <v>345966.97</v>
      </c>
      <c r="C4" s="15">
        <v>2689.87</v>
      </c>
      <c r="D4" s="15">
        <v>336081.38</v>
      </c>
      <c r="E4" s="16">
        <f t="shared" si="0"/>
        <v>283481.87</v>
      </c>
      <c r="F4" s="15">
        <v>52599.51</v>
      </c>
      <c r="G4" s="23">
        <v>42491.51</v>
      </c>
      <c r="H4" s="15">
        <v>10239.23</v>
      </c>
      <c r="I4" s="17">
        <f t="shared" si="1"/>
        <v>7.7749329654215257E-3</v>
      </c>
      <c r="J4" s="17">
        <f t="shared" si="2"/>
        <v>5.1138689314786386E-2</v>
      </c>
      <c r="K4" s="17">
        <f t="shared" si="3"/>
        <v>8.0036269786799841E-3</v>
      </c>
      <c r="L4" s="18">
        <f t="shared" si="4"/>
        <v>0.12281955702303028</v>
      </c>
      <c r="M4" s="19">
        <f t="shared" si="5"/>
        <v>4.1498735744777688</v>
      </c>
      <c r="N4" s="20">
        <f t="shared" si="6"/>
        <v>5.3894393693021092</v>
      </c>
      <c r="O4" s="21">
        <f t="shared" si="7"/>
        <v>1.029414274602181</v>
      </c>
      <c r="P4" s="17">
        <f t="shared" si="8"/>
        <v>0.24245815155859701</v>
      </c>
      <c r="Q4" s="17">
        <f t="shared" si="9"/>
        <v>0.11427920463960227</v>
      </c>
    </row>
    <row r="5" spans="1:17" x14ac:dyDescent="0.25">
      <c r="A5" s="14">
        <v>2022</v>
      </c>
      <c r="B5" s="15">
        <v>278453.62</v>
      </c>
      <c r="C5" s="16">
        <v>2414</v>
      </c>
      <c r="D5" s="16">
        <v>330619.93</v>
      </c>
      <c r="E5" s="16">
        <f t="shared" si="0"/>
        <v>281787.63</v>
      </c>
      <c r="F5" s="16">
        <v>48832.3</v>
      </c>
      <c r="G5" s="23">
        <v>36147.230000000003</v>
      </c>
      <c r="H5" s="15">
        <v>9311.86</v>
      </c>
      <c r="I5" s="17">
        <f t="shared" si="1"/>
        <v>8.6693072979263115E-3</v>
      </c>
      <c r="J5" s="17">
        <f t="shared" si="2"/>
        <v>4.9434493153097434E-2</v>
      </c>
      <c r="K5" s="17">
        <f t="shared" si="3"/>
        <v>7.3014352159593045E-3</v>
      </c>
      <c r="L5" s="18">
        <f t="shared" si="4"/>
        <v>0.12981418593157454</v>
      </c>
      <c r="M5" s="19">
        <f t="shared" si="5"/>
        <v>3.8818485243549623</v>
      </c>
      <c r="N5" s="20">
        <f t="shared" si="6"/>
        <v>5.770517260092193</v>
      </c>
      <c r="O5" s="21">
        <f t="shared" si="7"/>
        <v>0.84221668064596111</v>
      </c>
      <c r="P5" s="17">
        <f t="shared" si="8"/>
        <v>0.11472967306158355</v>
      </c>
      <c r="Q5" s="17">
        <f t="shared" si="9"/>
        <v>-1.1802151533023271</v>
      </c>
    </row>
    <row r="6" spans="1:17" x14ac:dyDescent="0.25">
      <c r="A6" s="14">
        <v>2021</v>
      </c>
      <c r="B6" s="15">
        <v>249794.75</v>
      </c>
      <c r="C6" s="24">
        <v>-13395.1</v>
      </c>
      <c r="D6" s="15">
        <v>343125.8</v>
      </c>
      <c r="E6" s="16">
        <f t="shared" si="0"/>
        <v>286305.58999999997</v>
      </c>
      <c r="F6" s="15">
        <v>56820.21</v>
      </c>
      <c r="G6" s="15">
        <v>35781.910000000003</v>
      </c>
      <c r="H6" s="15">
        <v>8097.17</v>
      </c>
      <c r="I6" s="17">
        <f>C6/B6</f>
        <v>-5.3624425653461497E-2</v>
      </c>
      <c r="J6" s="17">
        <f t="shared" si="2"/>
        <v>-0.23574534483417081</v>
      </c>
      <c r="K6" s="17">
        <f t="shared" si="3"/>
        <v>-3.9038451786487641E-2</v>
      </c>
      <c r="L6" s="18">
        <f t="shared" si="4"/>
        <v>0.14324524434560776</v>
      </c>
      <c r="M6" s="19">
        <f t="shared" si="5"/>
        <v>4.4190636975634705</v>
      </c>
      <c r="N6" s="20">
        <f t="shared" si="6"/>
        <v>5.038798519048064</v>
      </c>
      <c r="O6" s="21">
        <f t="shared" si="7"/>
        <v>0.72799757406758692</v>
      </c>
      <c r="P6" s="17">
        <f t="shared" si="8"/>
        <v>-4.3181168490336062E-2</v>
      </c>
      <c r="Q6" s="17">
        <f t="shared" si="9"/>
        <v>0.11856724254983002</v>
      </c>
    </row>
    <row r="7" spans="1:17" x14ac:dyDescent="0.25">
      <c r="A7" s="14">
        <v>2020</v>
      </c>
      <c r="B7" s="15">
        <v>261067.97</v>
      </c>
      <c r="C7" s="24">
        <v>-11975.23</v>
      </c>
      <c r="D7" s="15">
        <v>322121.26</v>
      </c>
      <c r="E7" s="16">
        <f t="shared" si="0"/>
        <v>258229.17</v>
      </c>
      <c r="F7" s="15">
        <v>63892.09</v>
      </c>
      <c r="G7" s="23">
        <v>23914.3</v>
      </c>
      <c r="H7" s="15">
        <v>7243.33</v>
      </c>
      <c r="I7" s="17">
        <f t="shared" si="1"/>
        <v>-4.5870161705398024E-2</v>
      </c>
      <c r="J7" s="17">
        <f t="shared" si="2"/>
        <v>-0.18742899160130777</v>
      </c>
      <c r="K7" s="17">
        <f t="shared" si="3"/>
        <v>-3.7176155339762422E-2</v>
      </c>
      <c r="L7" s="18">
        <f t="shared" si="4"/>
        <v>9.1601815419945998E-2</v>
      </c>
      <c r="M7" s="19">
        <f t="shared" si="5"/>
        <v>3.3015615745796478</v>
      </c>
      <c r="N7" s="20">
        <f t="shared" si="6"/>
        <v>4.0416453742552489</v>
      </c>
      <c r="O7" s="21">
        <f t="shared" si="7"/>
        <v>0.81046488518019577</v>
      </c>
      <c r="P7" s="17">
        <f>(B7-B8)/B8</f>
        <v>-0.14376912632516023</v>
      </c>
      <c r="Q7" s="17">
        <f>(C7-C8)/C8</f>
        <v>-0.58309613496633506</v>
      </c>
    </row>
    <row r="8" spans="1:17" x14ac:dyDescent="0.25">
      <c r="A8" s="14">
        <v>2019</v>
      </c>
      <c r="B8" s="15">
        <v>304903.71000000002</v>
      </c>
      <c r="C8" s="15">
        <v>-28724.2</v>
      </c>
      <c r="D8" s="16">
        <v>307194.53000000003</v>
      </c>
      <c r="E8" s="16">
        <f>D8-F8</f>
        <v>246491.91000000003</v>
      </c>
      <c r="F8" s="16">
        <v>60702.62</v>
      </c>
      <c r="G8" s="23">
        <v>29794.81</v>
      </c>
      <c r="H8" s="15">
        <v>5758.6</v>
      </c>
      <c r="I8" s="17">
        <f>C8/B8</f>
        <v>-9.4207446672262524E-2</v>
      </c>
      <c r="J8" s="17">
        <f>C8/F8</f>
        <v>-0.47319539090734469</v>
      </c>
      <c r="K8" s="17">
        <f>C8/D8</f>
        <v>-9.3504920155967619E-2</v>
      </c>
      <c r="L8" s="18">
        <f>G8/B8</f>
        <v>9.7718751929912556E-2</v>
      </c>
      <c r="M8" s="19">
        <f>G8/H8</f>
        <v>5.1739676310214291</v>
      </c>
      <c r="N8" s="20">
        <f>E8/F8</f>
        <v>4.0606469704273067</v>
      </c>
      <c r="O8" s="21">
        <f>B8/D8</f>
        <v>0.99254277086248899</v>
      </c>
      <c r="P8" s="17">
        <f t="shared" si="8"/>
        <v>2.9043305456127901E-2</v>
      </c>
      <c r="Q8" s="17">
        <f t="shared" si="9"/>
        <v>-4.1595052885376882</v>
      </c>
    </row>
    <row r="9" spans="1:17" x14ac:dyDescent="0.25">
      <c r="A9" s="14">
        <v>2018</v>
      </c>
      <c r="B9" s="16">
        <v>296298.23</v>
      </c>
      <c r="C9" s="16">
        <v>9091.36</v>
      </c>
      <c r="D9" s="16">
        <v>331350.51</v>
      </c>
      <c r="E9" s="16">
        <f>D9-F9</f>
        <v>235397.54</v>
      </c>
      <c r="F9" s="16">
        <v>95952.97</v>
      </c>
      <c r="G9" s="23">
        <v>33804.269999999997</v>
      </c>
      <c r="H9" s="15">
        <v>4681.79</v>
      </c>
      <c r="I9" s="17">
        <f>C9/B9</f>
        <v>3.0683139754159185E-2</v>
      </c>
      <c r="J9" s="17">
        <f t="shared" si="2"/>
        <v>9.4748083357920038E-2</v>
      </c>
      <c r="K9" s="17">
        <f t="shared" si="3"/>
        <v>2.7437289895826628E-2</v>
      </c>
      <c r="L9" s="18">
        <f t="shared" si="4"/>
        <v>0.11408866667883909</v>
      </c>
      <c r="M9" s="19">
        <f t="shared" si="5"/>
        <v>7.220372977002385</v>
      </c>
      <c r="N9" s="20">
        <f>E9/F9</f>
        <v>2.4532595499649466</v>
      </c>
      <c r="O9" s="21">
        <f t="shared" si="7"/>
        <v>0.89421389452516609</v>
      </c>
      <c r="P9" s="17">
        <f>(B9-B10)/B10</f>
        <v>7.6482562949174424E-2</v>
      </c>
      <c r="Q9" s="17">
        <f>(C9-C10)/C10</f>
        <v>0.20310829266226962</v>
      </c>
    </row>
    <row r="10" spans="1:17" x14ac:dyDescent="0.25">
      <c r="A10" s="14">
        <v>2017</v>
      </c>
      <c r="B10" s="16">
        <v>275246.65999999997</v>
      </c>
      <c r="C10" s="16">
        <v>7556.56</v>
      </c>
      <c r="D10" s="16">
        <v>273754.36</v>
      </c>
      <c r="E10" s="16">
        <f t="shared" ref="E10:E11" si="10">D10-F10</f>
        <v>215239.3</v>
      </c>
      <c r="F10" s="16">
        <v>58515.06</v>
      </c>
      <c r="G10" s="23">
        <v>36912.36</v>
      </c>
      <c r="H10" s="15">
        <v>4238.01</v>
      </c>
      <c r="I10" s="17">
        <f t="shared" ref="I10:I11" si="11">C10/B10</f>
        <v>2.7453775460890246E-2</v>
      </c>
      <c r="J10" s="17">
        <f t="shared" si="2"/>
        <v>0.12913872086946507</v>
      </c>
      <c r="K10" s="17">
        <f t="shared" si="3"/>
        <v>2.7603432507887733E-2</v>
      </c>
      <c r="L10" s="18">
        <f t="shared" si="4"/>
        <v>0.13410647744099785</v>
      </c>
      <c r="M10" s="19">
        <f t="shared" si="5"/>
        <v>8.7098331528240838</v>
      </c>
      <c r="N10" s="20">
        <f t="shared" ref="N10:N11" si="12">E10/F10</f>
        <v>3.6783573322833472</v>
      </c>
      <c r="O10" s="21">
        <f t="shared" si="7"/>
        <v>1.0054512373793791</v>
      </c>
      <c r="P10" s="17">
        <f t="shared" si="8"/>
        <v>-1.1844652986146658E-2</v>
      </c>
      <c r="Q10" s="17">
        <f t="shared" si="9"/>
        <v>-0.35293397350103056</v>
      </c>
    </row>
    <row r="11" spans="1:17" x14ac:dyDescent="0.25">
      <c r="A11" s="14">
        <v>2016</v>
      </c>
      <c r="B11" s="16">
        <v>278545.94</v>
      </c>
      <c r="C11" s="16">
        <v>11678.19</v>
      </c>
      <c r="D11" s="16">
        <v>267141.15000000002</v>
      </c>
      <c r="E11" s="16">
        <f t="shared" si="10"/>
        <v>187755.90000000002</v>
      </c>
      <c r="F11" s="16">
        <v>79385.25</v>
      </c>
      <c r="G11" s="23">
        <v>41776.28</v>
      </c>
      <c r="H11" s="15">
        <v>4889.08</v>
      </c>
      <c r="I11" s="17">
        <f t="shared" si="11"/>
        <v>4.1925543772061445E-2</v>
      </c>
      <c r="J11" s="17">
        <f t="shared" si="2"/>
        <v>0.14710780655096509</v>
      </c>
      <c r="K11" s="17">
        <f t="shared" si="3"/>
        <v>4.3715429090576269E-2</v>
      </c>
      <c r="L11" s="18">
        <f t="shared" si="4"/>
        <v>0.14997985610560327</v>
      </c>
      <c r="M11" s="19">
        <f t="shared" si="5"/>
        <v>8.5448141572647618</v>
      </c>
      <c r="N11" s="20">
        <f t="shared" si="12"/>
        <v>2.365123243927556</v>
      </c>
      <c r="O11" s="21">
        <f t="shared" si="7"/>
        <v>1.0426920000905888</v>
      </c>
      <c r="P11" s="25" t="s">
        <v>17</v>
      </c>
      <c r="Q11" s="25" t="s">
        <v>17</v>
      </c>
    </row>
    <row r="12" spans="1:17" x14ac:dyDescent="0.25">
      <c r="D12" s="10"/>
      <c r="E12" s="2"/>
      <c r="F12" s="10"/>
      <c r="K12" s="4"/>
    </row>
    <row r="13" spans="1:17" x14ac:dyDescent="0.25">
      <c r="K13" s="4"/>
    </row>
    <row r="14" spans="1:17" x14ac:dyDescent="0.25">
      <c r="B14" s="8"/>
      <c r="C14" s="8"/>
      <c r="K14" s="4"/>
    </row>
    <row r="15" spans="1:17" x14ac:dyDescent="0.25">
      <c r="B15" s="9"/>
      <c r="C15" s="9"/>
      <c r="K15" s="7"/>
    </row>
    <row r="16" spans="1:17" x14ac:dyDescent="0.25">
      <c r="B16" s="9"/>
      <c r="C16" s="9"/>
      <c r="K16" s="3"/>
    </row>
    <row r="17" spans="2:11" x14ac:dyDescent="0.25">
      <c r="B17" s="9"/>
      <c r="C17" s="9"/>
      <c r="K17" s="5"/>
    </row>
    <row r="18" spans="2:11" x14ac:dyDescent="0.25">
      <c r="B18" s="9"/>
      <c r="C18" s="9"/>
    </row>
    <row r="19" spans="2:11" x14ac:dyDescent="0.25">
      <c r="B19" s="9"/>
      <c r="C19" s="9"/>
    </row>
    <row r="20" spans="2:11" x14ac:dyDescent="0.25">
      <c r="B20" s="9"/>
      <c r="C20" s="9"/>
    </row>
  </sheetData>
  <conditionalFormatting sqref="C4:C7">
    <cfRule type="iconSet" priority="5">
      <iconSet>
        <cfvo type="percent" val="0"/>
        <cfvo type="num" val="0" gte="0"/>
        <cfvo type="num" val="0" gte="0"/>
      </iconSet>
    </cfRule>
  </conditionalFormatting>
  <conditionalFormatting sqref="K12:K17">
    <cfRule type="iconSet" priority="4">
      <iconSet>
        <cfvo type="percent" val="0"/>
        <cfvo type="num" val="0" gte="0"/>
        <cfvo type="num" val="0" gte="0"/>
      </iconSet>
    </cfRule>
  </conditionalFormatting>
  <conditionalFormatting sqref="C2:C5">
    <cfRule type="iconSet" priority="3">
      <iconSet>
        <cfvo type="percent" val="0"/>
        <cfvo type="num" val="0" gte="0"/>
        <cfvo type="num" val="0" gte="0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conditionalFormatting sqref="C2:C11">
    <cfRule type="iconSet" priority="1">
      <iconSet>
        <cfvo type="percent" val="0"/>
        <cfvo type="num" val="0" gte="0"/>
        <cfvo type="num" val="0" gte="0"/>
      </iconSet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E1"/>
    </sheetView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F1"/>
    </sheetView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Data</vt:lpstr>
      <vt:lpstr>Ratios</vt:lpstr>
      <vt:lpstr>DCF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Rudranjan Dey</cp:lastModifiedBy>
  <dcterms:created xsi:type="dcterms:W3CDTF">2026-03-25T08:04:16Z</dcterms:created>
  <dcterms:modified xsi:type="dcterms:W3CDTF">2026-03-30T08:40:25Z</dcterms:modified>
</cp:coreProperties>
</file>